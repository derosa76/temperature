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\Documents\Arduino\irrigazione_programmata_3_3_fork_NTC\"/>
    </mc:Choice>
  </mc:AlternateContent>
  <xr:revisionPtr revIDLastSave="0" documentId="13_ncr:1_{BA73D5A2-00DB-4FB9-A356-E3AA35E5783E}" xr6:coauthVersionLast="47" xr6:coauthVersionMax="47" xr10:uidLastSave="{00000000-0000-0000-0000-000000000000}"/>
  <bookViews>
    <workbookView xWindow="-120" yWindow="-120" windowWidth="29040" windowHeight="15720" xr2:uid="{90236874-2F2C-42B9-8AF4-3AAB7609F2F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5" i="1" s="1"/>
  <c r="O5" i="1" s="1"/>
  <c r="C22" i="1" s="1"/>
  <c r="D22" i="1" s="1"/>
  <c r="E22" i="1" s="1"/>
  <c r="F22" i="1" l="1"/>
  <c r="C9" i="1" s="1"/>
  <c r="C18" i="1" l="1"/>
  <c r="E9" i="1" s="1"/>
</calcChain>
</file>

<file path=xl/sharedStrings.xml><?xml version="1.0" encoding="utf-8"?>
<sst xmlns="http://schemas.openxmlformats.org/spreadsheetml/2006/main" count="29" uniqueCount="23">
  <si>
    <t>a</t>
  </si>
  <si>
    <t>b</t>
  </si>
  <si>
    <t>c</t>
  </si>
  <si>
    <t>d</t>
  </si>
  <si>
    <t>R</t>
  </si>
  <si>
    <t>LN</t>
  </si>
  <si>
    <t>LN3</t>
  </si>
  <si>
    <t>LN2</t>
  </si>
  <si>
    <t>3 Parametri</t>
  </si>
  <si>
    <t>4 Parametri</t>
  </si>
  <si>
    <t xml:space="preserve"> inv_T=a+b*log(r)+c*pow(log(r),2)+d*pow(log(r),3);</t>
  </si>
  <si>
    <t>inv_T=a+b*log(r)+c*pow(log(r),2)+d*pow(log(r),3);</t>
  </si>
  <si>
    <t>VCC</t>
  </si>
  <si>
    <t>V</t>
  </si>
  <si>
    <t>GND</t>
  </si>
  <si>
    <t>Rmis</t>
  </si>
  <si>
    <t>V25</t>
  </si>
  <si>
    <t>Res=</t>
  </si>
  <si>
    <t>12 bit</t>
  </si>
  <si>
    <t>V,x</t>
  </si>
  <si>
    <t>bits</t>
  </si>
  <si>
    <t>Precisione:</t>
  </si>
  <si>
    <t>T(K)=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</si>
</sst>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"/>
  </numFmts>
  <fonts count="4" x14ac:knownFonts="1">
    <font>
      <sz val="11"/>
      <color theme="1"/>
      <name val="Aptos Narrow"/>
      <family val="2"/>
      <scheme val="minor"/>
    </font>
    <font>
      <sz val="11"/>
      <color rgb="FF95A5A6"/>
      <name val="Consolas"/>
      <family val="3"/>
    </font>
    <font>
      <sz val="11"/>
      <name val="Aptos Narrow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1" fontId="1" fillId="0" borderId="0" xfId="0" applyNumberFormat="1" applyFont="1" applyAlignment="1">
      <alignment vertical="center"/>
    </xf>
    <xf numFmtId="0" fontId="2" fillId="0" borderId="0" xfId="0" applyFont="1"/>
    <xf numFmtId="11" fontId="3" fillId="0" borderId="0" xfId="0" applyNumberFormat="1" applyFont="1" applyAlignment="1">
      <alignment vertical="center"/>
    </xf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5153-2681-487E-BD1A-76B574DABED9}">
  <dimension ref="A1:P22"/>
  <sheetViews>
    <sheetView tabSelected="1" workbookViewId="0">
      <selection activeCell="D27" sqref="D27"/>
    </sheetView>
  </sheetViews>
  <sheetFormatPr defaultRowHeight="15" x14ac:dyDescent="0.25"/>
  <cols>
    <col min="3" max="4" width="22" bestFit="1" customWidth="1"/>
    <col min="5" max="5" width="22" customWidth="1"/>
  </cols>
  <sheetData>
    <row r="1" spans="1:16" x14ac:dyDescent="0.25">
      <c r="A1" s="1" t="s">
        <v>11</v>
      </c>
    </row>
    <row r="3" spans="1:16" x14ac:dyDescent="0.25">
      <c r="B3" t="s">
        <v>8</v>
      </c>
      <c r="M3" t="s">
        <v>12</v>
      </c>
      <c r="N3">
        <v>3.3</v>
      </c>
    </row>
    <row r="4" spans="1:16" x14ac:dyDescent="0.25">
      <c r="C4" s="3"/>
      <c r="M4" t="s">
        <v>4</v>
      </c>
      <c r="N4">
        <v>3000</v>
      </c>
    </row>
    <row r="5" spans="1:16" x14ac:dyDescent="0.25">
      <c r="B5" t="s">
        <v>0</v>
      </c>
      <c r="C5" s="4">
        <v>1.3843870029999999E-3</v>
      </c>
      <c r="M5" t="s">
        <v>19</v>
      </c>
      <c r="N5">
        <f>N13+N12</f>
        <v>1.6508056640625</v>
      </c>
      <c r="O5">
        <f>N5/N3</f>
        <v>0.500244140625</v>
      </c>
    </row>
    <row r="6" spans="1:16" x14ac:dyDescent="0.25">
      <c r="B6" t="s">
        <v>1</v>
      </c>
      <c r="C6" s="4">
        <v>2.4059483130000001E-4</v>
      </c>
      <c r="M6" t="s">
        <v>15</v>
      </c>
      <c r="N6">
        <v>3525</v>
      </c>
    </row>
    <row r="7" spans="1:16" x14ac:dyDescent="0.25">
      <c r="B7" t="s">
        <v>2</v>
      </c>
      <c r="C7" s="4">
        <v>8.4444249049999999E-8</v>
      </c>
      <c r="M7" t="s">
        <v>14</v>
      </c>
      <c r="N7">
        <v>0</v>
      </c>
    </row>
    <row r="8" spans="1:16" x14ac:dyDescent="0.25">
      <c r="B8" s="1" t="s">
        <v>11</v>
      </c>
      <c r="C8" s="3"/>
      <c r="E8" t="s">
        <v>21</v>
      </c>
    </row>
    <row r="9" spans="1:16" x14ac:dyDescent="0.25">
      <c r="B9" t="s">
        <v>22</v>
      </c>
      <c r="C9" s="8">
        <f>(1/(C5+C6*D$22+C7*F$22))-273.15</f>
        <v>21.358418715623372</v>
      </c>
      <c r="D9" s="5"/>
      <c r="E9" s="6">
        <f>25-C18</f>
        <v>3.6416676836810211</v>
      </c>
    </row>
    <row r="12" spans="1:16" x14ac:dyDescent="0.25">
      <c r="B12" t="s">
        <v>9</v>
      </c>
      <c r="J12" t="s">
        <v>20</v>
      </c>
      <c r="K12" s="7">
        <v>12</v>
      </c>
      <c r="M12" t="s">
        <v>17</v>
      </c>
      <c r="N12">
        <f>3.3/(2^K12)</f>
        <v>8.0566406249999996E-4</v>
      </c>
      <c r="O12" t="s">
        <v>13</v>
      </c>
      <c r="P12" t="s">
        <v>18</v>
      </c>
    </row>
    <row r="13" spans="1:16" x14ac:dyDescent="0.25">
      <c r="B13" t="s">
        <v>0</v>
      </c>
      <c r="C13" s="2">
        <v>1.71602237409577E-3</v>
      </c>
      <c r="M13" t="s">
        <v>16</v>
      </c>
      <c r="N13">
        <v>1.65</v>
      </c>
    </row>
    <row r="14" spans="1:16" x14ac:dyDescent="0.25">
      <c r="B14" t="s">
        <v>1</v>
      </c>
      <c r="C14" s="2">
        <v>1.2061779102437599E-4</v>
      </c>
    </row>
    <row r="15" spans="1:16" x14ac:dyDescent="0.25">
      <c r="B15" t="s">
        <v>2</v>
      </c>
      <c r="C15" s="2">
        <v>1.44691352807517E-5</v>
      </c>
    </row>
    <row r="16" spans="1:16" x14ac:dyDescent="0.25">
      <c r="B16" t="s">
        <v>3</v>
      </c>
      <c r="C16" s="2">
        <v>-4.9725114520793696E-7</v>
      </c>
    </row>
    <row r="17" spans="2:6" x14ac:dyDescent="0.25">
      <c r="B17" s="1" t="s">
        <v>10</v>
      </c>
    </row>
    <row r="18" spans="2:6" x14ac:dyDescent="0.25">
      <c r="B18" t="s">
        <v>22</v>
      </c>
      <c r="C18" s="8">
        <f>(1/(C13+C14*D$22+C15*E22+C16*F$22))-273.15</f>
        <v>21.358332316318979</v>
      </c>
    </row>
    <row r="21" spans="2:6" x14ac:dyDescent="0.25">
      <c r="C21" s="4"/>
      <c r="D21" t="s">
        <v>5</v>
      </c>
      <c r="E21" t="s">
        <v>7</v>
      </c>
      <c r="F21" t="s">
        <v>6</v>
      </c>
    </row>
    <row r="22" spans="2:6" x14ac:dyDescent="0.25">
      <c r="B22" t="s">
        <v>4</v>
      </c>
      <c r="C22">
        <f>N6</f>
        <v>3525</v>
      </c>
      <c r="D22">
        <f>LN(C22)</f>
        <v>8.1676357152463694</v>
      </c>
      <c r="E22">
        <f>D22*D22</f>
        <v>66.710273176968073</v>
      </c>
      <c r="F22">
        <f>D22*D22*D22</f>
        <v>544.86520977404632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&amp;C_x000D_&amp;1#&amp;"Trebuchet MS"&amp;8&amp;K22505F Saipem Classification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Rosa Giovanni</dc:creator>
  <cp:lastModifiedBy>De Rosa Giovanni</cp:lastModifiedBy>
  <dcterms:created xsi:type="dcterms:W3CDTF">2024-10-28T14:11:12Z</dcterms:created>
  <dcterms:modified xsi:type="dcterms:W3CDTF">2024-11-04T23:44:05Z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eb324-6c8f-4366-ba47-706b295f9115_Enabled">
    <vt:lpwstr>true</vt:lpwstr>
  </property>
  <property fmtid="{D5CDD505-2E9C-101B-9397-08002B2CF9AE}" pid="3" name="MSIP_Label_797eb324-6c8f-4366-ba47-706b295f9115_SetDate">
    <vt:lpwstr>2024-10-28T17:00:06Z</vt:lpwstr>
  </property>
  <property fmtid="{D5CDD505-2E9C-101B-9397-08002B2CF9AE}" pid="4" name="MSIP_Label_797eb324-6c8f-4366-ba47-706b295f9115_Method">
    <vt:lpwstr>Standard</vt:lpwstr>
  </property>
  <property fmtid="{D5CDD505-2E9C-101B-9397-08002B2CF9AE}" pid="5" name="MSIP_Label_797eb324-6c8f-4366-ba47-706b295f9115_Name">
    <vt:lpwstr>General Use</vt:lpwstr>
  </property>
  <property fmtid="{D5CDD505-2E9C-101B-9397-08002B2CF9AE}" pid="6" name="MSIP_Label_797eb324-6c8f-4366-ba47-706b295f9115_SiteId">
    <vt:lpwstr>7a823e81-3527-485c-a629-67235afb2fa8</vt:lpwstr>
  </property>
  <property fmtid="{D5CDD505-2E9C-101B-9397-08002B2CF9AE}" pid="7" name="MSIP_Label_797eb324-6c8f-4366-ba47-706b295f9115_ActionId">
    <vt:lpwstr>b62cabc8-41c2-4270-b6f0-c839240f0355</vt:lpwstr>
  </property>
  <property fmtid="{D5CDD505-2E9C-101B-9397-08002B2CF9AE}" pid="8" name="MSIP_Label_797eb324-6c8f-4366-ba47-706b295f9115_ContentBits">
    <vt:lpwstr>2</vt:lpwstr>
  </property>
</Properties>
</file>